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 Orçamentár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<sst xmlns="http://schemas.openxmlformats.org/spreadsheetml/2006/main" count="99" uniqueCount="47">
  <si>
    <t xml:space="preserve">PLANILHA ORÇAMENTÁRIA — NARRATIVAS EM JOGO</t>
  </si>
  <si>
    <t xml:space="preserve">Projeto: Adaptação de O Alienista para jogo digital independente  |  Proponente: Filipe Medeiros dos Santos  |  Duração: 12 meses</t>
  </si>
  <si>
    <t xml:space="preserve">Item de Despesa</t>
  </si>
  <si>
    <t xml:space="preserve">Unidade</t>
  </si>
  <si>
    <t xml:space="preserve">Quantidade</t>
  </si>
  <si>
    <t xml:space="preserve">Valor Unitário</t>
  </si>
  <si>
    <t xml:space="preserve">Valor Total</t>
  </si>
  <si>
    <t xml:space="preserve">Valor a ser executado
via PNAB</t>
  </si>
  <si>
    <t xml:space="preserve">Valores de outras
fontes de recursos</t>
  </si>
  <si>
    <t xml:space="preserve">Origem de outras
fontes de recursos</t>
  </si>
  <si>
    <t xml:space="preserve">1   PRÉ-PRODUÇÃO</t>
  </si>
  <si>
    <t xml:space="preserve">Licença Aseprite (software profissional de pixel art)</t>
  </si>
  <si>
    <t xml:space="preserve">un</t>
  </si>
  <si>
    <t xml:space="preserve">R$ -</t>
  </si>
  <si>
    <t xml:space="preserve">Não aplicável</t>
  </si>
  <si>
    <t xml:space="preserve">Pacote de assets visuais de referência (UI kits históricos — itch.io)</t>
  </si>
  <si>
    <t xml:space="preserve">pacote</t>
  </si>
  <si>
    <t xml:space="preserve">Licença Articy:Draft SE (design narrativo e roteiro interativo)</t>
  </si>
  <si>
    <t xml:space="preserve">licença</t>
  </si>
  <si>
    <t xml:space="preserve">HD Externo 1 TB — backup e segurança do projeto</t>
  </si>
  <si>
    <t xml:space="preserve">SUBTOTAL DO GRUPO 1</t>
  </si>
  <si>
    <t xml:space="preserve">—</t>
  </si>
  <si>
    <t xml:space="preserve">2   PRODUÇÃO / EXECUÇÃO</t>
  </si>
  <si>
    <t xml:space="preserve">Pacote de assets visuais premium (texturas papel, UI burocrática, elementos históricos)</t>
  </si>
  <si>
    <t xml:space="preserve">Pacote de efeitos sonoros — SFX ambiente e ações de escritório século XIX</t>
  </si>
  <si>
    <t xml:space="preserve">Licença biblioteca musical royalty-free Artlist (12 meses)</t>
  </si>
  <si>
    <t xml:space="preserve">Fontes tipográficas licenciadas (estilo histórico + fontes acessíveis)</t>
  </si>
  <si>
    <t xml:space="preserve">Plugins e add-ons Godot Engine (shaders, componentes de UI)</t>
  </si>
  <si>
    <t xml:space="preserve">Taxa de publicação Steam Direct</t>
  </si>
  <si>
    <t xml:space="preserve">taxa</t>
  </si>
  <si>
    <t xml:space="preserve">Hospedagem web e domínio do projeto (24 meses)</t>
  </si>
  <si>
    <t xml:space="preserve">mês</t>
  </si>
  <si>
    <t xml:space="preserve">Armazenamento em nuvem para versionamento e entrega (24 meses)</t>
  </si>
  <si>
    <t xml:space="preserve">♿  Acessibilidade — Consultoria PcD / especialista acessibilidade gamer (testes e validação)</t>
  </si>
  <si>
    <t xml:space="preserve">hora</t>
  </si>
  <si>
    <t xml:space="preserve">♿  Acessibilidade — Legendagem para Surdos e Ensurdecidos (LSE) no vídeo documental</t>
  </si>
  <si>
    <t xml:space="preserve">serviço</t>
  </si>
  <si>
    <t xml:space="preserve">SUBTOTAL DO GRUPO 2</t>
  </si>
  <si>
    <t xml:space="preserve">3   PÓS-PRODUÇÃO</t>
  </si>
  <si>
    <t xml:space="preserve">Licença DaVinci Resolve Studio (edição do vídeo documental 30–60 min)</t>
  </si>
  <si>
    <t xml:space="preserve">Microfone condensador USB — gravação de narração para o vídeo</t>
  </si>
  <si>
    <t xml:space="preserve">Material gráfico de divulgação (press kit, capsule art Steam/Itch.io, banners)</t>
  </si>
  <si>
    <t xml:space="preserve">Impressão e encadernação do relatório final de prestação de contas</t>
  </si>
  <si>
    <t xml:space="preserve">SUBTOTAL DO GRUPO 3</t>
  </si>
  <si>
    <t xml:space="preserve">VALOR TOTAL</t>
  </si>
  <si>
    <t xml:space="preserve">ℹ  Rendimentos: eventuais rendimentos de aplicação financeira dos recursos deverão ser aplicados integralmente no objeto da proposta, conforme normativa PNAB vigente.</t>
  </si>
  <si>
    <t xml:space="preserve">♿  Os itens de Acessibilidade (sinalizados em azul) totalizam R$ 3.300,00 — equivalentes a 23,3% do orçamento total, cumprindo o mínimo de 10% exigido pelo Art. 18 da IN nº 10/2023.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</si>
</sst>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i val="true"/>
      <sz val="9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FFFFFF"/>
      </patternFill>
    </fill>
    <fill>
      <patternFill patternType="solid">
        <fgColor rgb="FFBDD7EE"/>
        <bgColor rgb="FFB8CCE4"/>
      </patternFill>
    </fill>
    <fill>
      <patternFill patternType="solid">
        <fgColor rgb="FFD6E4F0"/>
        <bgColor rgb="FFBDD7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8CCE4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88888"/>
      <rgbColor rgb="FF9999FF"/>
      <rgbColor rgb="FF993366"/>
      <rgbColor rgb="FFF2F7FC"/>
      <rgbColor rgb="FFD6E4F0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7" min="6" style="0" width="20"/>
    <col collapsed="false" customWidth="true" hidden="false" outlineLevel="0" max="8" min="8" style="0" width="2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43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4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19.5" hidden="false" customHeight="true" outlineLevel="0" collapsed="false">
      <c r="A5" s="5" t="s">
        <v>11</v>
      </c>
      <c r="B5" s="6" t="s">
        <v>12</v>
      </c>
      <c r="C5" s="6" t="n">
        <v>1</v>
      </c>
      <c r="D5" s="7" t="n">
        <v>130</v>
      </c>
      <c r="E5" s="7" t="n">
        <f aca="false">C5*D5</f>
        <v>130</v>
      </c>
      <c r="F5" s="7" t="n">
        <f aca="false">E5</f>
        <v>130</v>
      </c>
      <c r="G5" s="6" t="s">
        <v>13</v>
      </c>
      <c r="H5" s="8" t="s">
        <v>14</v>
      </c>
    </row>
    <row r="6" customFormat="false" ht="19.5" hidden="false" customHeight="true" outlineLevel="0" collapsed="false">
      <c r="A6" s="9" t="s">
        <v>15</v>
      </c>
      <c r="B6" s="10" t="s">
        <v>16</v>
      </c>
      <c r="C6" s="10" t="n">
        <v>1</v>
      </c>
      <c r="D6" s="11" t="n">
        <v>480</v>
      </c>
      <c r="E6" s="11" t="n">
        <f aca="false">C6*D6</f>
        <v>480</v>
      </c>
      <c r="F6" s="11" t="n">
        <f aca="false">E6</f>
        <v>480</v>
      </c>
      <c r="G6" s="10" t="s">
        <v>13</v>
      </c>
      <c r="H6" s="12" t="s">
        <v>14</v>
      </c>
    </row>
    <row r="7" customFormat="false" ht="19.5" hidden="false" customHeight="true" outlineLevel="0" collapsed="false">
      <c r="A7" s="5" t="s">
        <v>17</v>
      </c>
      <c r="B7" s="6" t="s">
        <v>18</v>
      </c>
      <c r="C7" s="6" t="n">
        <v>1</v>
      </c>
      <c r="D7" s="7" t="n">
        <v>890</v>
      </c>
      <c r="E7" s="7" t="n">
        <f aca="false">C7*D7</f>
        <v>890</v>
      </c>
      <c r="F7" s="7" t="n">
        <f aca="false">E7</f>
        <v>890</v>
      </c>
      <c r="G7" s="6" t="s">
        <v>13</v>
      </c>
      <c r="H7" s="8" t="s">
        <v>14</v>
      </c>
    </row>
    <row r="8" customFormat="false" ht="19.5" hidden="false" customHeight="true" outlineLevel="0" collapsed="false">
      <c r="A8" s="9" t="s">
        <v>19</v>
      </c>
      <c r="B8" s="10" t="s">
        <v>12</v>
      </c>
      <c r="C8" s="10" t="n">
        <v>1</v>
      </c>
      <c r="D8" s="11" t="n">
        <v>450</v>
      </c>
      <c r="E8" s="11" t="n">
        <f aca="false">C8*D8</f>
        <v>450</v>
      </c>
      <c r="F8" s="11" t="n">
        <f aca="false">E8</f>
        <v>450</v>
      </c>
      <c r="G8" s="10" t="s">
        <v>13</v>
      </c>
      <c r="H8" s="12" t="s">
        <v>14</v>
      </c>
    </row>
    <row r="9" customFormat="false" ht="21.75" hidden="false" customHeight="true" outlineLevel="0" collapsed="false">
      <c r="A9" s="13" t="s">
        <v>20</v>
      </c>
      <c r="B9" s="14"/>
      <c r="C9" s="14"/>
      <c r="D9" s="14"/>
      <c r="E9" s="15" t="n">
        <f aca="false">SUM(E5,E6,E7,E8)</f>
        <v>1950</v>
      </c>
      <c r="F9" s="15" t="n">
        <f aca="false">E9</f>
        <v>1950</v>
      </c>
      <c r="G9" s="16" t="s">
        <v>13</v>
      </c>
      <c r="H9" s="17" t="s">
        <v>21</v>
      </c>
    </row>
    <row r="10" customFormat="false" ht="24" hidden="false" customHeight="true" outlineLevel="0" collapsed="false">
      <c r="A10" s="4" t="s">
        <v>22</v>
      </c>
      <c r="B10" s="4"/>
      <c r="C10" s="4"/>
      <c r="D10" s="4"/>
      <c r="E10" s="4"/>
      <c r="F10" s="4"/>
      <c r="G10" s="4"/>
      <c r="H10" s="4"/>
    </row>
    <row r="11" customFormat="false" ht="19.5" hidden="false" customHeight="true" outlineLevel="0" collapsed="false">
      <c r="A11" s="5" t="s">
        <v>23</v>
      </c>
      <c r="B11" s="6" t="s">
        <v>16</v>
      </c>
      <c r="C11" s="6" t="n">
        <v>2</v>
      </c>
      <c r="D11" s="7" t="n">
        <v>350</v>
      </c>
      <c r="E11" s="7" t="n">
        <f aca="false">C11*D11</f>
        <v>700</v>
      </c>
      <c r="F11" s="7" t="n">
        <f aca="false">E11</f>
        <v>700</v>
      </c>
      <c r="G11" s="6" t="s">
        <v>13</v>
      </c>
      <c r="H11" s="8" t="s">
        <v>14</v>
      </c>
    </row>
    <row r="12" customFormat="false" ht="19.5" hidden="false" customHeight="true" outlineLevel="0" collapsed="false">
      <c r="A12" s="9" t="s">
        <v>24</v>
      </c>
      <c r="B12" s="10" t="s">
        <v>16</v>
      </c>
      <c r="C12" s="10" t="n">
        <v>1</v>
      </c>
      <c r="D12" s="11" t="n">
        <v>650</v>
      </c>
      <c r="E12" s="11" t="n">
        <f aca="false">C12*D12</f>
        <v>650</v>
      </c>
      <c r="F12" s="11" t="n">
        <f aca="false">E12</f>
        <v>650</v>
      </c>
      <c r="G12" s="10" t="s">
        <v>13</v>
      </c>
      <c r="H12" s="12" t="s">
        <v>14</v>
      </c>
    </row>
    <row r="13" customFormat="false" ht="19.5" hidden="false" customHeight="true" outlineLevel="0" collapsed="false">
      <c r="A13" s="5" t="s">
        <v>25</v>
      </c>
      <c r="B13" s="6" t="s">
        <v>18</v>
      </c>
      <c r="C13" s="6" t="n">
        <v>1</v>
      </c>
      <c r="D13" s="7" t="n">
        <v>1200</v>
      </c>
      <c r="E13" s="7" t="n">
        <f aca="false">C13*D13</f>
        <v>1200</v>
      </c>
      <c r="F13" s="7" t="n">
        <f aca="false">E13</f>
        <v>1200</v>
      </c>
      <c r="G13" s="6" t="s">
        <v>13</v>
      </c>
      <c r="H13" s="8" t="s">
        <v>14</v>
      </c>
    </row>
    <row r="14" customFormat="false" ht="19.5" hidden="false" customHeight="true" outlineLevel="0" collapsed="false">
      <c r="A14" s="9" t="s">
        <v>26</v>
      </c>
      <c r="B14" s="10" t="s">
        <v>16</v>
      </c>
      <c r="C14" s="10" t="n">
        <v>1</v>
      </c>
      <c r="D14" s="11" t="n">
        <v>380</v>
      </c>
      <c r="E14" s="11" t="n">
        <f aca="false">C14*D14</f>
        <v>380</v>
      </c>
      <c r="F14" s="11" t="n">
        <f aca="false">E14</f>
        <v>380</v>
      </c>
      <c r="G14" s="10" t="s">
        <v>13</v>
      </c>
      <c r="H14" s="12" t="s">
        <v>14</v>
      </c>
    </row>
    <row r="15" customFormat="false" ht="19.5" hidden="false" customHeight="true" outlineLevel="0" collapsed="false">
      <c r="A15" s="5" t="s">
        <v>27</v>
      </c>
      <c r="B15" s="6" t="s">
        <v>16</v>
      </c>
      <c r="C15" s="6" t="n">
        <v>1</v>
      </c>
      <c r="D15" s="7" t="n">
        <v>320</v>
      </c>
      <c r="E15" s="7" t="n">
        <f aca="false">C15*D15</f>
        <v>320</v>
      </c>
      <c r="F15" s="7" t="n">
        <f aca="false">E15</f>
        <v>320</v>
      </c>
      <c r="G15" s="6" t="s">
        <v>13</v>
      </c>
      <c r="H15" s="8" t="s">
        <v>14</v>
      </c>
    </row>
    <row r="16" customFormat="false" ht="19.5" hidden="false" customHeight="true" outlineLevel="0" collapsed="false">
      <c r="A16" s="9" t="s">
        <v>28</v>
      </c>
      <c r="B16" s="10" t="s">
        <v>29</v>
      </c>
      <c r="C16" s="10" t="n">
        <v>1</v>
      </c>
      <c r="D16" s="11" t="n">
        <v>530</v>
      </c>
      <c r="E16" s="11" t="n">
        <f aca="false">C16*D16</f>
        <v>530</v>
      </c>
      <c r="F16" s="11" t="n">
        <f aca="false">E16</f>
        <v>530</v>
      </c>
      <c r="G16" s="10" t="s">
        <v>13</v>
      </c>
      <c r="H16" s="12" t="s">
        <v>14</v>
      </c>
    </row>
    <row r="17" customFormat="false" ht="19.5" hidden="false" customHeight="true" outlineLevel="0" collapsed="false">
      <c r="A17" s="5" t="s">
        <v>30</v>
      </c>
      <c r="B17" s="6" t="s">
        <v>31</v>
      </c>
      <c r="C17" s="6" t="n">
        <v>24</v>
      </c>
      <c r="D17" s="7" t="n">
        <v>40</v>
      </c>
      <c r="E17" s="7" t="n">
        <f aca="false">C17*D17</f>
        <v>960</v>
      </c>
      <c r="F17" s="7" t="n">
        <f aca="false">E17</f>
        <v>960</v>
      </c>
      <c r="G17" s="6" t="s">
        <v>13</v>
      </c>
      <c r="H17" s="8" t="s">
        <v>14</v>
      </c>
    </row>
    <row r="18" customFormat="false" ht="19.5" hidden="false" customHeight="true" outlineLevel="0" collapsed="false">
      <c r="A18" s="9" t="s">
        <v>32</v>
      </c>
      <c r="B18" s="10" t="s">
        <v>31</v>
      </c>
      <c r="C18" s="10" t="n">
        <v>24</v>
      </c>
      <c r="D18" s="11" t="n">
        <v>28</v>
      </c>
      <c r="E18" s="11" t="n">
        <f aca="false">C18*D18</f>
        <v>672</v>
      </c>
      <c r="F18" s="11" t="n">
        <f aca="false">E18</f>
        <v>672</v>
      </c>
      <c r="G18" s="10" t="s">
        <v>13</v>
      </c>
      <c r="H18" s="12" t="s">
        <v>14</v>
      </c>
    </row>
    <row r="19" customFormat="false" ht="19.5" hidden="false" customHeight="true" outlineLevel="0" collapsed="false">
      <c r="A19" s="18" t="s">
        <v>33</v>
      </c>
      <c r="B19" s="19" t="s">
        <v>34</v>
      </c>
      <c r="C19" s="19" t="n">
        <v>20</v>
      </c>
      <c r="D19" s="20" t="n">
        <v>120</v>
      </c>
      <c r="E19" s="20" t="n">
        <f aca="false">C19*D19</f>
        <v>2400</v>
      </c>
      <c r="F19" s="20" t="n">
        <f aca="false">E19</f>
        <v>2400</v>
      </c>
      <c r="G19" s="19" t="s">
        <v>13</v>
      </c>
      <c r="H19" s="21" t="s">
        <v>14</v>
      </c>
    </row>
    <row r="20" customFormat="false" ht="19.5" hidden="false" customHeight="true" outlineLevel="0" collapsed="false">
      <c r="A20" s="18" t="s">
        <v>35</v>
      </c>
      <c r="B20" s="19" t="s">
        <v>36</v>
      </c>
      <c r="C20" s="19" t="n">
        <v>1</v>
      </c>
      <c r="D20" s="20" t="n">
        <v>900</v>
      </c>
      <c r="E20" s="20" t="n">
        <f aca="false">C20*D20</f>
        <v>900</v>
      </c>
      <c r="F20" s="20" t="n">
        <f aca="false">E20</f>
        <v>900</v>
      </c>
      <c r="G20" s="19" t="s">
        <v>13</v>
      </c>
      <c r="H20" s="21" t="s">
        <v>14</v>
      </c>
    </row>
    <row r="21" customFormat="false" ht="21.75" hidden="false" customHeight="true" outlineLevel="0" collapsed="false">
      <c r="A21" s="13" t="s">
        <v>37</v>
      </c>
      <c r="B21" s="14"/>
      <c r="C21" s="14"/>
      <c r="D21" s="14"/>
      <c r="E21" s="15" t="n">
        <f aca="false">SUM(E11,E12,E13,E14,E15,E16,E17,E18,E19,E20)</f>
        <v>8712</v>
      </c>
      <c r="F21" s="15" t="n">
        <f aca="false">E21</f>
        <v>8712</v>
      </c>
      <c r="G21" s="16" t="s">
        <v>13</v>
      </c>
      <c r="H21" s="17" t="s">
        <v>21</v>
      </c>
    </row>
    <row r="22" customFormat="false" ht="24" hidden="false" customHeight="true" outlineLevel="0" collapsed="false">
      <c r="A22" s="4" t="s">
        <v>38</v>
      </c>
      <c r="B22" s="4"/>
      <c r="C22" s="4"/>
      <c r="D22" s="4"/>
      <c r="E22" s="4"/>
      <c r="F22" s="4"/>
      <c r="G22" s="4"/>
      <c r="H22" s="4"/>
    </row>
    <row r="23" customFormat="false" ht="19.5" hidden="false" customHeight="true" outlineLevel="0" collapsed="false">
      <c r="A23" s="5" t="s">
        <v>39</v>
      </c>
      <c r="B23" s="6" t="s">
        <v>18</v>
      </c>
      <c r="C23" s="6" t="n">
        <v>1</v>
      </c>
      <c r="D23" s="7" t="n">
        <v>1800</v>
      </c>
      <c r="E23" s="7" t="n">
        <f aca="false">C23*D23</f>
        <v>1800</v>
      </c>
      <c r="F23" s="7" t="n">
        <f aca="false">E23</f>
        <v>1800</v>
      </c>
      <c r="G23" s="6" t="s">
        <v>13</v>
      </c>
      <c r="H23" s="8" t="s">
        <v>14</v>
      </c>
    </row>
    <row r="24" customFormat="false" ht="19.5" hidden="false" customHeight="true" outlineLevel="0" collapsed="false">
      <c r="A24" s="9" t="s">
        <v>40</v>
      </c>
      <c r="B24" s="10" t="s">
        <v>12</v>
      </c>
      <c r="C24" s="10" t="n">
        <v>1</v>
      </c>
      <c r="D24" s="11" t="n">
        <v>980</v>
      </c>
      <c r="E24" s="11" t="n">
        <f aca="false">C24*D24</f>
        <v>980</v>
      </c>
      <c r="F24" s="11" t="n">
        <f aca="false">E24</f>
        <v>980</v>
      </c>
      <c r="G24" s="10" t="s">
        <v>13</v>
      </c>
      <c r="H24" s="12" t="s">
        <v>14</v>
      </c>
    </row>
    <row r="25" customFormat="false" ht="19.5" hidden="false" customHeight="true" outlineLevel="0" collapsed="false">
      <c r="A25" s="5" t="s">
        <v>41</v>
      </c>
      <c r="B25" s="6" t="s">
        <v>16</v>
      </c>
      <c r="C25" s="6" t="n">
        <v>1</v>
      </c>
      <c r="D25" s="7" t="n">
        <v>600</v>
      </c>
      <c r="E25" s="7" t="n">
        <f aca="false">C25*D25</f>
        <v>600</v>
      </c>
      <c r="F25" s="7" t="n">
        <f aca="false">E25</f>
        <v>600</v>
      </c>
      <c r="G25" s="6" t="s">
        <v>13</v>
      </c>
      <c r="H25" s="8" t="s">
        <v>14</v>
      </c>
    </row>
    <row r="26" customFormat="false" ht="19.5" hidden="false" customHeight="true" outlineLevel="0" collapsed="false">
      <c r="A26" s="9" t="s">
        <v>42</v>
      </c>
      <c r="B26" s="10" t="s">
        <v>36</v>
      </c>
      <c r="C26" s="10" t="n">
        <v>1</v>
      </c>
      <c r="D26" s="11" t="n">
        <v>180</v>
      </c>
      <c r="E26" s="11" t="n">
        <f aca="false">C26*D26</f>
        <v>180</v>
      </c>
      <c r="F26" s="11" t="n">
        <f aca="false">E26</f>
        <v>180</v>
      </c>
      <c r="G26" s="10" t="s">
        <v>13</v>
      </c>
      <c r="H26" s="12" t="s">
        <v>14</v>
      </c>
    </row>
    <row r="27" customFormat="false" ht="21.75" hidden="false" customHeight="true" outlineLevel="0" collapsed="false">
      <c r="A27" s="13" t="s">
        <v>43</v>
      </c>
      <c r="B27" s="14"/>
      <c r="C27" s="14"/>
      <c r="D27" s="14"/>
      <c r="E27" s="15" t="n">
        <f aca="false">SUM(E23,E24,E25,E26)</f>
        <v>3560</v>
      </c>
      <c r="F27" s="15" t="n">
        <f aca="false">E27</f>
        <v>3560</v>
      </c>
      <c r="G27" s="16" t="s">
        <v>13</v>
      </c>
      <c r="H27" s="17" t="s">
        <v>21</v>
      </c>
    </row>
    <row r="28" customFormat="false" ht="27.75" hidden="false" customHeight="true" outlineLevel="0" collapsed="false">
      <c r="A28" s="22" t="s">
        <v>44</v>
      </c>
      <c r="B28" s="23"/>
      <c r="C28" s="23"/>
      <c r="D28" s="23"/>
      <c r="E28" s="24" t="n">
        <f aca="false">SUM(E9,E21,E27)</f>
        <v>14222</v>
      </c>
      <c r="F28" s="24" t="n">
        <f aca="false">E28</f>
        <v>14222</v>
      </c>
      <c r="G28" s="25" t="s">
        <v>13</v>
      </c>
      <c r="H28" s="26" t="s">
        <v>21</v>
      </c>
    </row>
    <row r="30" customFormat="false" ht="30" hidden="false" customHeight="true" outlineLevel="0" collapsed="false">
      <c r="A30" s="27" t="s">
        <v>45</v>
      </c>
      <c r="B30" s="27"/>
      <c r="C30" s="27"/>
      <c r="D30" s="27"/>
      <c r="E30" s="27"/>
      <c r="F30" s="27"/>
      <c r="G30" s="27"/>
      <c r="H30" s="27"/>
    </row>
    <row r="31" customFormat="false" ht="30" hidden="false" customHeight="true" outlineLevel="0" collapsed="false">
      <c r="A31" s="28" t="s">
        <v>46</v>
      </c>
      <c r="B31" s="28"/>
      <c r="C31" s="28"/>
      <c r="D31" s="28"/>
      <c r="E31" s="28"/>
      <c r="F31" s="28"/>
      <c r="G31" s="28"/>
      <c r="H31" s="28"/>
    </row>
  </sheetData>
  <mergeCells count="7">
    <mergeCell ref="A1:H1"/>
    <mergeCell ref="A2:H2"/>
    <mergeCell ref="A4:H4"/>
    <mergeCell ref="A10:H10"/>
    <mergeCell ref="A22:H22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2026-04-15T23:36:03Z</dcterms:created>
  <dc:creator>openpyxl</dc:creator>
  <dc:description/>
  <dc:language>en-US</dc:language>
  <cp:lastModifiedBy/>
  <dcterms:modified xsi:type="dcterms:W3CDTF">2026-04-15T23:36:03Z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